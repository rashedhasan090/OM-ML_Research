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STORAGE1TB/DTS_2024/RQ4 - Transformer Experiment Analysis and Results/Combined_Results/"/>
    </mc:Choice>
  </mc:AlternateContent>
  <xr:revisionPtr revIDLastSave="0" documentId="13_ncr:1_{6DFB4FEE-AB5C-B342-A3B1-D681426BD111}" xr6:coauthVersionLast="47" xr6:coauthVersionMax="47" xr10:uidLastSave="{00000000-0000-0000-0000-000000000000}"/>
  <bookViews>
    <workbookView xWindow="6420" yWindow="11780" windowWidth="41620" windowHeight="15140" xr2:uid="{72D05CC9-D497-0445-B7DE-42EF86FB177C}"/>
  </bookViews>
  <sheets>
    <sheet name="CodeT5_LM" sheetId="1" r:id="rId1"/>
    <sheet name="CodeBE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E8" i="2"/>
  <c r="F8" i="2"/>
  <c r="G8" i="2"/>
  <c r="H8" i="2"/>
  <c r="I8" i="2"/>
  <c r="J8" i="2"/>
  <c r="K8" i="2"/>
  <c r="L8" i="2"/>
  <c r="M8" i="2"/>
  <c r="N8" i="2"/>
  <c r="O8" i="2"/>
  <c r="C8" i="2"/>
  <c r="D7" i="2"/>
  <c r="E7" i="2"/>
  <c r="F7" i="2"/>
  <c r="G7" i="2"/>
  <c r="H7" i="2"/>
  <c r="I7" i="2"/>
  <c r="J7" i="2"/>
  <c r="K7" i="2"/>
  <c r="L7" i="2"/>
  <c r="M7" i="2"/>
  <c r="N7" i="2"/>
  <c r="O7" i="2"/>
  <c r="C7" i="2"/>
  <c r="D9" i="1"/>
  <c r="E9" i="1"/>
  <c r="F9" i="1"/>
  <c r="G9" i="1"/>
  <c r="H9" i="1"/>
  <c r="I9" i="1"/>
  <c r="J9" i="1"/>
  <c r="K9" i="1"/>
  <c r="L9" i="1"/>
  <c r="M9" i="1"/>
  <c r="N9" i="1"/>
  <c r="O9" i="1"/>
  <c r="C9" i="1"/>
  <c r="D8" i="1"/>
  <c r="E8" i="1"/>
  <c r="F8" i="1"/>
  <c r="G8" i="1"/>
  <c r="H8" i="1"/>
  <c r="I8" i="1"/>
  <c r="J8" i="1"/>
  <c r="K8" i="1"/>
  <c r="L8" i="1"/>
  <c r="M8" i="1"/>
  <c r="N8" i="1"/>
  <c r="O8" i="1"/>
  <c r="C8" i="1"/>
</calcChain>
</file>

<file path=xl/sharedStrings.xml><?xml version="1.0" encoding="utf-8"?>
<sst xmlns="http://schemas.openxmlformats.org/spreadsheetml/2006/main" count="46" uniqueCount="22">
  <si>
    <t>Test set</t>
  </si>
  <si>
    <t xml:space="preserve"> Accuracy</t>
  </si>
  <si>
    <t xml:space="preserve"> Precision (P)</t>
  </si>
  <si>
    <t xml:space="preserve"> Recall (P)</t>
  </si>
  <si>
    <t xml:space="preserve"> Precision (NP)</t>
  </si>
  <si>
    <t xml:space="preserve"> Recall (NP)</t>
  </si>
  <si>
    <t xml:space="preserve"> F1 (P)</t>
  </si>
  <si>
    <t xml:space="preserve"> F1 (NP)</t>
  </si>
  <si>
    <t xml:space="preserve"> Precision (Macro Avg.)</t>
  </si>
  <si>
    <t xml:space="preserve"> Recall (Macro Avg.)</t>
  </si>
  <si>
    <t xml:space="preserve"> F1 (Macro Avg.)</t>
  </si>
  <si>
    <t xml:space="preserve"> Precision (Weig. Avg.)</t>
  </si>
  <si>
    <t xml:space="preserve"> Recall (Weig. Avg.)</t>
  </si>
  <si>
    <t xml:space="preserve"> F1 (Weig. Avg.)</t>
  </si>
  <si>
    <t xml:space="preserve"> Support (NP)</t>
  </si>
  <si>
    <t xml:space="preserve"> Support (P)</t>
  </si>
  <si>
    <t>Round</t>
  </si>
  <si>
    <t>Average</t>
  </si>
  <si>
    <t xml:space="preserve">Std. </t>
  </si>
  <si>
    <t>Bank OM</t>
  </si>
  <si>
    <t>A pre-trained encoder-decoder LM (CodeT5 Large) Transformer model with pre-trained weights, using raw data.</t>
  </si>
  <si>
    <t>A pre-trained encoder-only LM (CodeBERT base) Transformer model with pre-trained weights, using raw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</si>
</sst>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F8D2"/>
      <color rgb="FFEAD2FF"/>
      <color rgb="FFC087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CDA8-0D87-6149-90A4-DCE51D37C7EC}">
  <sheetPr codeName="Sheet1"/>
  <dimension ref="A1:Q10"/>
  <sheetViews>
    <sheetView tabSelected="1" workbookViewId="0">
      <selection activeCell="G15" sqref="G15"/>
    </sheetView>
  </sheetViews>
  <sheetFormatPr baseColWidth="10" defaultRowHeight="16" x14ac:dyDescent="0.2"/>
  <cols>
    <col min="1" max="1" width="29.33203125" customWidth="1"/>
    <col min="2" max="2" width="21.1640625" customWidth="1"/>
    <col min="4" max="5" width="19.6640625" customWidth="1"/>
    <col min="6" max="6" width="18.1640625" customWidth="1"/>
    <col min="7" max="7" width="13" customWidth="1"/>
    <col min="8" max="8" width="15" customWidth="1"/>
    <col min="9" max="9" width="13.83203125" customWidth="1"/>
    <col min="10" max="10" width="18.5" customWidth="1"/>
    <col min="11" max="11" width="18.1640625" customWidth="1"/>
    <col min="12" max="12" width="18.33203125" customWidth="1"/>
    <col min="13" max="13" width="18.1640625" customWidth="1"/>
    <col min="14" max="14" width="17.83203125" customWidth="1"/>
    <col min="15" max="15" width="19.6640625" customWidth="1"/>
  </cols>
  <sheetData>
    <row r="1" spans="1:17" x14ac:dyDescent="0.2">
      <c r="A1" s="3"/>
      <c r="B1" s="3"/>
      <c r="C1" s="3"/>
      <c r="D1" s="3"/>
      <c r="E1" s="3"/>
      <c r="F1" s="3"/>
      <c r="G1" s="3" t="s">
        <v>20</v>
      </c>
      <c r="H1" s="3"/>
      <c r="I1" s="3"/>
      <c r="J1" s="3"/>
      <c r="K1" s="3"/>
      <c r="L1" s="4"/>
      <c r="M1" s="4"/>
      <c r="N1" s="3"/>
      <c r="O1" s="3"/>
      <c r="P1" s="3"/>
      <c r="Q1" s="3"/>
    </row>
    <row r="2" spans="1:17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2">
      <c r="A4" s="1" t="s">
        <v>0</v>
      </c>
      <c r="B4" s="1" t="s">
        <v>16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</row>
    <row r="5" spans="1:17" x14ac:dyDescent="0.2">
      <c r="A5" s="1" t="s">
        <v>19</v>
      </c>
      <c r="B5" s="1">
        <v>1</v>
      </c>
      <c r="C5" s="1">
        <v>0.47</v>
      </c>
      <c r="D5" s="1">
        <v>0.37</v>
      </c>
      <c r="E5" s="1">
        <v>1</v>
      </c>
      <c r="F5" s="1">
        <v>0.92</v>
      </c>
      <c r="G5" s="1">
        <v>0.23</v>
      </c>
      <c r="H5" s="1">
        <v>0.54</v>
      </c>
      <c r="I5" s="1">
        <v>0.37</v>
      </c>
      <c r="J5" s="1">
        <v>0.69</v>
      </c>
      <c r="K5" s="1">
        <v>0.61</v>
      </c>
      <c r="L5" s="1">
        <v>0.46</v>
      </c>
      <c r="M5" s="1">
        <v>0.8</v>
      </c>
      <c r="N5" s="1">
        <v>0.47</v>
      </c>
      <c r="O5" s="1">
        <v>0.42</v>
      </c>
      <c r="P5" s="1">
        <v>22</v>
      </c>
      <c r="Q5" s="1">
        <v>10</v>
      </c>
    </row>
    <row r="6" spans="1:17" x14ac:dyDescent="0.2">
      <c r="A6" s="1" t="s">
        <v>19</v>
      </c>
      <c r="B6" s="1">
        <v>2</v>
      </c>
      <c r="C6" s="1">
        <v>0.31</v>
      </c>
      <c r="D6" s="1">
        <v>0.31</v>
      </c>
      <c r="E6" s="1">
        <v>1</v>
      </c>
      <c r="F6" s="1">
        <v>0</v>
      </c>
      <c r="G6" s="1">
        <v>0</v>
      </c>
      <c r="H6" s="1">
        <v>0.48</v>
      </c>
      <c r="I6" s="1">
        <v>0</v>
      </c>
      <c r="J6" s="1">
        <v>0.16</v>
      </c>
      <c r="K6" s="1">
        <v>0.5</v>
      </c>
      <c r="L6" s="1">
        <v>0.24</v>
      </c>
      <c r="M6" s="1">
        <v>0.1</v>
      </c>
      <c r="N6" s="1">
        <v>0.31</v>
      </c>
      <c r="O6" s="1">
        <v>0.15</v>
      </c>
      <c r="P6" s="1">
        <v>22</v>
      </c>
      <c r="Q6" s="1">
        <v>10</v>
      </c>
    </row>
    <row r="7" spans="1:17" x14ac:dyDescent="0.2">
      <c r="A7" s="1" t="s">
        <v>19</v>
      </c>
      <c r="B7" s="1">
        <v>3</v>
      </c>
      <c r="C7" s="1">
        <v>0.41</v>
      </c>
      <c r="D7" s="1">
        <v>0.33</v>
      </c>
      <c r="E7" s="1">
        <v>0.9</v>
      </c>
      <c r="F7" s="1">
        <v>0.8</v>
      </c>
      <c r="G7" s="1">
        <v>0.18</v>
      </c>
      <c r="H7" s="1">
        <v>0.49</v>
      </c>
      <c r="I7" s="1">
        <v>0.3</v>
      </c>
      <c r="J7" s="1">
        <v>0.56999999999999995</v>
      </c>
      <c r="K7" s="1">
        <v>0.54</v>
      </c>
      <c r="L7" s="1">
        <v>0.39</v>
      </c>
      <c r="M7" s="1">
        <v>0.65</v>
      </c>
      <c r="N7" s="1">
        <v>0.41</v>
      </c>
      <c r="O7" s="1">
        <v>0.36</v>
      </c>
      <c r="P7" s="1">
        <v>22</v>
      </c>
      <c r="Q7" s="1">
        <v>10</v>
      </c>
    </row>
    <row r="8" spans="1:17" x14ac:dyDescent="0.2">
      <c r="A8" s="1"/>
      <c r="B8" s="2" t="s">
        <v>17</v>
      </c>
      <c r="C8" s="1">
        <f>AVERAGE(C5:C7)</f>
        <v>0.39666666666666667</v>
      </c>
      <c r="D8" s="1">
        <f t="shared" ref="D8:O8" si="0">AVERAGE(D5:D7)</f>
        <v>0.33666666666666667</v>
      </c>
      <c r="E8" s="1">
        <f t="shared" si="0"/>
        <v>0.96666666666666667</v>
      </c>
      <c r="F8" s="1">
        <f t="shared" si="0"/>
        <v>0.57333333333333336</v>
      </c>
      <c r="G8" s="1">
        <f t="shared" si="0"/>
        <v>0.13666666666666669</v>
      </c>
      <c r="H8" s="1">
        <f t="shared" si="0"/>
        <v>0.5033333333333333</v>
      </c>
      <c r="I8" s="1">
        <f t="shared" si="0"/>
        <v>0.2233333333333333</v>
      </c>
      <c r="J8" s="1">
        <f t="shared" si="0"/>
        <v>0.47333333333333333</v>
      </c>
      <c r="K8" s="1">
        <f t="shared" si="0"/>
        <v>0.54999999999999993</v>
      </c>
      <c r="L8" s="1">
        <f t="shared" si="0"/>
        <v>0.36333333333333329</v>
      </c>
      <c r="M8" s="1">
        <f t="shared" si="0"/>
        <v>0.51666666666666672</v>
      </c>
      <c r="N8" s="1">
        <f t="shared" si="0"/>
        <v>0.39666666666666667</v>
      </c>
      <c r="O8" s="1">
        <f t="shared" si="0"/>
        <v>0.31</v>
      </c>
      <c r="P8" s="1">
        <v>22</v>
      </c>
      <c r="Q8" s="1">
        <v>10</v>
      </c>
    </row>
    <row r="9" spans="1:17" x14ac:dyDescent="0.2">
      <c r="A9" s="1"/>
      <c r="B9" s="2" t="s">
        <v>18</v>
      </c>
      <c r="C9" s="1">
        <f>STDEV(C5:C7)</f>
        <v>8.0829037686547617E-2</v>
      </c>
      <c r="D9" s="1">
        <f t="shared" ref="D9:O9" si="1">STDEV(D5:D7)</f>
        <v>3.0550504633038929E-2</v>
      </c>
      <c r="E9" s="1">
        <f t="shared" si="1"/>
        <v>5.7735026918962568E-2</v>
      </c>
      <c r="F9" s="1">
        <f t="shared" si="1"/>
        <v>0.50013331556029472</v>
      </c>
      <c r="G9" s="1">
        <f t="shared" si="1"/>
        <v>0.12096831541082702</v>
      </c>
      <c r="H9" s="1">
        <f t="shared" si="1"/>
        <v>3.2145502536643208E-2</v>
      </c>
      <c r="I9" s="1">
        <f t="shared" si="1"/>
        <v>0.19655363983740759</v>
      </c>
      <c r="J9" s="1">
        <f t="shared" si="1"/>
        <v>0.27790885796126263</v>
      </c>
      <c r="K9" s="1">
        <f t="shared" si="1"/>
        <v>5.5677643628300209E-2</v>
      </c>
      <c r="L9" s="1">
        <f t="shared" si="1"/>
        <v>0.11239810200058267</v>
      </c>
      <c r="M9" s="1">
        <f t="shared" si="1"/>
        <v>0.36855573979159978</v>
      </c>
      <c r="N9" s="1">
        <f t="shared" si="1"/>
        <v>8.0829037686547617E-2</v>
      </c>
      <c r="O9" s="1">
        <f t="shared" si="1"/>
        <v>0.14177446878757827</v>
      </c>
      <c r="P9" s="1"/>
      <c r="Q9" s="1"/>
    </row>
    <row r="10" spans="1:1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DD56-B39D-244A-BEB4-E5A01684A777}">
  <dimension ref="A1:Q8"/>
  <sheetViews>
    <sheetView workbookViewId="0">
      <selection activeCell="O7" sqref="O7"/>
    </sheetView>
  </sheetViews>
  <sheetFormatPr baseColWidth="10" defaultRowHeight="16" x14ac:dyDescent="0.2"/>
  <cols>
    <col min="1" max="1" width="14.6640625" customWidth="1"/>
    <col min="4" max="4" width="19.5" customWidth="1"/>
    <col min="6" max="6" width="15.83203125" customWidth="1"/>
    <col min="7" max="7" width="14.33203125" customWidth="1"/>
    <col min="9" max="9" width="19.83203125" customWidth="1"/>
    <col min="10" max="10" width="23.6640625" customWidth="1"/>
    <col min="11" max="11" width="32.1640625" customWidth="1"/>
    <col min="12" max="12" width="28.1640625" customWidth="1"/>
    <col min="13" max="13" width="22.5" customWidth="1"/>
    <col min="14" max="14" width="20.6640625" customWidth="1"/>
    <col min="15" max="15" width="18.5" customWidth="1"/>
  </cols>
  <sheetData>
    <row r="1" spans="1:17" x14ac:dyDescent="0.2">
      <c r="A1" s="3"/>
      <c r="B1" s="3"/>
      <c r="C1" s="3"/>
      <c r="D1" s="3"/>
      <c r="E1" s="3"/>
      <c r="F1" s="3"/>
      <c r="G1" s="3" t="s">
        <v>21</v>
      </c>
      <c r="H1" s="3"/>
      <c r="I1" s="3"/>
      <c r="J1" s="3"/>
      <c r="K1" s="3"/>
      <c r="L1" s="4"/>
      <c r="M1" s="4"/>
      <c r="N1" s="3"/>
      <c r="O1" s="3"/>
      <c r="P1" s="3"/>
      <c r="Q1" s="3"/>
    </row>
    <row r="2" spans="1:17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">
      <c r="A3" s="1" t="s">
        <v>0</v>
      </c>
      <c r="B3" s="1" t="s">
        <v>16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1:17" x14ac:dyDescent="0.2">
      <c r="A4" s="1" t="s">
        <v>19</v>
      </c>
      <c r="B4" s="1">
        <v>1</v>
      </c>
      <c r="C4" s="1">
        <v>0.69</v>
      </c>
      <c r="D4" s="1">
        <v>0</v>
      </c>
      <c r="E4" s="1">
        <v>0</v>
      </c>
      <c r="F4" s="1">
        <v>0.69</v>
      </c>
      <c r="G4" s="1">
        <v>1</v>
      </c>
      <c r="H4" s="1">
        <v>0</v>
      </c>
      <c r="I4" s="1">
        <v>0.81</v>
      </c>
      <c r="J4" s="1">
        <v>0.34</v>
      </c>
      <c r="K4" s="1">
        <v>0.5</v>
      </c>
      <c r="L4" s="1">
        <v>0.41</v>
      </c>
      <c r="M4" s="1">
        <v>0.47</v>
      </c>
      <c r="N4" s="1">
        <v>0.69</v>
      </c>
      <c r="O4" s="1">
        <v>0.56000000000000005</v>
      </c>
      <c r="P4" s="1">
        <v>22</v>
      </c>
      <c r="Q4" s="1">
        <v>10</v>
      </c>
    </row>
    <row r="5" spans="1:17" x14ac:dyDescent="0.2">
      <c r="A5" s="1" t="s">
        <v>19</v>
      </c>
      <c r="B5" s="1">
        <v>2</v>
      </c>
      <c r="C5" s="1">
        <v>0.59</v>
      </c>
      <c r="D5" s="1">
        <v>0.2</v>
      </c>
      <c r="E5" s="1">
        <v>0.1</v>
      </c>
      <c r="F5" s="1">
        <v>0.67</v>
      </c>
      <c r="G5" s="1">
        <v>0.82</v>
      </c>
      <c r="H5" s="1">
        <v>0.13</v>
      </c>
      <c r="I5" s="1">
        <v>0.73</v>
      </c>
      <c r="J5" s="1">
        <v>0.43</v>
      </c>
      <c r="K5" s="1">
        <v>0.46</v>
      </c>
      <c r="L5" s="1">
        <v>0.43</v>
      </c>
      <c r="M5" s="1">
        <v>0.52</v>
      </c>
      <c r="N5" s="1">
        <v>0.59</v>
      </c>
      <c r="O5" s="1">
        <v>0.55000000000000004</v>
      </c>
      <c r="P5" s="1">
        <v>22</v>
      </c>
      <c r="Q5" s="1">
        <v>10</v>
      </c>
    </row>
    <row r="6" spans="1:17" x14ac:dyDescent="0.2">
      <c r="A6" s="1" t="s">
        <v>19</v>
      </c>
      <c r="B6" s="1">
        <v>3</v>
      </c>
      <c r="C6" s="1">
        <v>0.47</v>
      </c>
      <c r="D6" s="1">
        <v>0.11</v>
      </c>
      <c r="E6" s="1">
        <v>0.1</v>
      </c>
      <c r="F6" s="1">
        <v>0.61</v>
      </c>
      <c r="G6" s="1">
        <v>0.64</v>
      </c>
      <c r="H6" s="1">
        <v>0.11</v>
      </c>
      <c r="I6" s="1">
        <v>0.62</v>
      </c>
      <c r="J6" s="1">
        <v>0.36</v>
      </c>
      <c r="K6" s="1">
        <v>0.37</v>
      </c>
      <c r="L6" s="1">
        <v>0.36</v>
      </c>
      <c r="M6" s="1">
        <v>0.45</v>
      </c>
      <c r="N6" s="1">
        <v>0.47</v>
      </c>
      <c r="O6" s="1">
        <v>0.46</v>
      </c>
      <c r="P6" s="1">
        <v>22</v>
      </c>
      <c r="Q6" s="1">
        <v>10</v>
      </c>
    </row>
    <row r="7" spans="1:17" x14ac:dyDescent="0.2">
      <c r="A7" s="1"/>
      <c r="B7" s="2" t="s">
        <v>17</v>
      </c>
      <c r="C7" s="1">
        <f>AVERAGE(C4:C6)</f>
        <v>0.58333333333333326</v>
      </c>
      <c r="D7" s="1">
        <f t="shared" ref="D7:O7" si="0">AVERAGE(D4:D6)</f>
        <v>0.10333333333333333</v>
      </c>
      <c r="E7" s="1">
        <f t="shared" si="0"/>
        <v>6.6666666666666666E-2</v>
      </c>
      <c r="F7" s="1">
        <f t="shared" si="0"/>
        <v>0.65666666666666662</v>
      </c>
      <c r="G7" s="1">
        <f t="shared" si="0"/>
        <v>0.82</v>
      </c>
      <c r="H7" s="1">
        <f t="shared" si="0"/>
        <v>0.08</v>
      </c>
      <c r="I7" s="1">
        <f t="shared" si="0"/>
        <v>0.72000000000000008</v>
      </c>
      <c r="J7" s="1">
        <f t="shared" si="0"/>
        <v>0.37666666666666665</v>
      </c>
      <c r="K7" s="1">
        <f t="shared" si="0"/>
        <v>0.44333333333333336</v>
      </c>
      <c r="L7" s="1">
        <f t="shared" si="0"/>
        <v>0.39999999999999997</v>
      </c>
      <c r="M7" s="1">
        <f t="shared" si="0"/>
        <v>0.48</v>
      </c>
      <c r="N7" s="1">
        <f t="shared" si="0"/>
        <v>0.58333333333333326</v>
      </c>
      <c r="O7" s="1">
        <f t="shared" si="0"/>
        <v>0.52333333333333332</v>
      </c>
      <c r="P7" s="1">
        <v>22</v>
      </c>
      <c r="Q7" s="1">
        <v>10</v>
      </c>
    </row>
    <row r="8" spans="1:17" x14ac:dyDescent="0.2">
      <c r="A8" s="1"/>
      <c r="B8" s="2" t="s">
        <v>18</v>
      </c>
      <c r="C8" s="1">
        <f>STDEV(C4:C6)</f>
        <v>0.11015141094572202</v>
      </c>
      <c r="D8" s="1">
        <f t="shared" ref="D8:O8" si="1">STDEV(D4:D6)</f>
        <v>0.10016652800877814</v>
      </c>
      <c r="E8" s="1">
        <f t="shared" si="1"/>
        <v>5.7735026918962581E-2</v>
      </c>
      <c r="F8" s="1">
        <f t="shared" si="1"/>
        <v>4.1633319989322647E-2</v>
      </c>
      <c r="G8" s="1">
        <f t="shared" si="1"/>
        <v>0.17999999999999997</v>
      </c>
      <c r="H8" s="1">
        <f t="shared" si="1"/>
        <v>7.0000000000000007E-2</v>
      </c>
      <c r="I8" s="1">
        <f t="shared" si="1"/>
        <v>9.5393920141694552E-2</v>
      </c>
      <c r="J8" s="1">
        <f t="shared" si="1"/>
        <v>4.725815626252642E-2</v>
      </c>
      <c r="K8" s="1">
        <f t="shared" si="1"/>
        <v>6.6583281184794021E-2</v>
      </c>
      <c r="L8" s="1">
        <f t="shared" si="1"/>
        <v>3.605551275463989E-2</v>
      </c>
      <c r="M8" s="1">
        <f t="shared" si="1"/>
        <v>3.6055512754639904E-2</v>
      </c>
      <c r="N8" s="1">
        <f t="shared" si="1"/>
        <v>0.11015141094572202</v>
      </c>
      <c r="O8" s="1">
        <f t="shared" si="1"/>
        <v>5.5075705472861038E-2</v>
      </c>
      <c r="P8" s="1">
        <v>22</v>
      </c>
      <c r="Q8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CodeT5_LM</vt:lpstr>
      <vt:lpstr>CodeBERT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admin0513-27</dc:creator>
  <cp:lastModifiedBy>Rashedul Hasan</cp:lastModifiedBy>
  <dcterms:created xsi:type="dcterms:W3CDTF">2023-07-23T03:08:44Z</dcterms:created>
  <dcterms:modified xsi:type="dcterms:W3CDTF">2024-11-25T22:28:16Z</dcterms:modified>
</cp:coreProperties>
</file>